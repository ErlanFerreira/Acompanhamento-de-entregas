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name="Controle" sheetId="1" state="visible" r:id="rId1"/>
  </sheets>
  <definedNames>
    <definedName name="_xlnm._FilterDatabase" localSheetId="0" hidden="1">'Controle'!$A$8:$R$238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rgb="FF002060"/>
      <sz val="12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rgb="FFFFFF0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tted">
        <color theme="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2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9" tint="-0.499984740745262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9" fontId="1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14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9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right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3" borderId="3" applyAlignment="1" pivotButton="0" quotePrefix="0" xfId="0">
      <alignment horizontal="center" vertical="center" wrapText="1"/>
    </xf>
    <xf numFmtId="10" fontId="11" fillId="3" borderId="5" applyAlignment="1" pivotButton="0" quotePrefix="0" xfId="1">
      <alignment horizontal="center" vertical="center" wrapText="1"/>
    </xf>
    <xf numFmtId="10" fontId="11" fillId="3" borderId="5" applyAlignment="1" pivotButton="0" quotePrefix="0" xfId="0">
      <alignment horizontal="center" vertical="center" wrapText="1"/>
    </xf>
    <xf numFmtId="0" fontId="14" fillId="3" borderId="6" applyAlignment="1" pivotButton="0" quotePrefix="0" xfId="0">
      <alignment horizontal="left" vertical="center"/>
    </xf>
    <xf numFmtId="0" fontId="0" fillId="3" borderId="8" pivotButton="0" quotePrefix="0" xfId="0"/>
    <xf numFmtId="0" fontId="0" fillId="3" borderId="9" applyAlignment="1" pivotButton="0" quotePrefix="0" xfId="0">
      <alignment vertical="center"/>
    </xf>
    <xf numFmtId="0" fontId="0" fillId="3" borderId="8" applyAlignment="1" pivotButton="0" quotePrefix="0" xfId="0">
      <alignment vertical="center"/>
    </xf>
    <xf numFmtId="0" fontId="15" fillId="2" borderId="8" pivotButton="0" quotePrefix="0" xfId="0"/>
    <xf numFmtId="0" fontId="0" fillId="2" borderId="8" pivotButton="0" quotePrefix="0" xfId="0"/>
    <xf numFmtId="0" fontId="13" fillId="3" borderId="8" applyAlignment="1" pivotButton="0" quotePrefix="0" xfId="0">
      <alignment horizontal="right" vertical="center" wrapText="1"/>
    </xf>
    <xf numFmtId="0" fontId="12" fillId="2" borderId="8" applyAlignment="1" pivotButton="0" quotePrefix="0" xfId="0">
      <alignment horizontal="center" vertical="center" wrapText="1"/>
    </xf>
    <xf numFmtId="10" fontId="4" fillId="2" borderId="8" applyAlignment="1" pivotButton="0" quotePrefix="0" xfId="1">
      <alignment horizontal="center" vertical="center" wrapText="1"/>
    </xf>
    <xf numFmtId="10" fontId="11" fillId="3" borderId="10" applyAlignment="1" pivotButton="0" quotePrefix="0" xfId="1">
      <alignment horizontal="center" vertical="center" wrapText="1"/>
    </xf>
    <xf numFmtId="0" fontId="3" fillId="2" borderId="0" pivotButton="0" quotePrefix="0" xfId="0"/>
    <xf numFmtId="14" fontId="0" fillId="2" borderId="0" applyAlignment="1" pivotButton="0" quotePrefix="0" xfId="0">
      <alignment horizontal="right" vertical="center"/>
    </xf>
    <xf numFmtId="0" fontId="2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14" fontId="16" fillId="4" borderId="11" applyAlignment="1" pivotButton="0" quotePrefix="0" xfId="0">
      <alignment horizontal="right" vertical="center" wrapText="1"/>
    </xf>
    <xf numFmtId="14" fontId="0" fillId="0" borderId="0" pivotButton="0" quotePrefix="0" xfId="0"/>
    <xf numFmtId="14" fontId="18" fillId="0" borderId="0" applyAlignment="1" pivotButton="0" quotePrefix="0" xfId="0">
      <alignment horizontal="center" wrapText="1"/>
    </xf>
    <xf numFmtId="0" fontId="11" fillId="3" borderId="8" applyAlignment="1" pivotButton="0" quotePrefix="0" xfId="0">
      <alignment horizontal="center" vertical="center"/>
    </xf>
    <xf numFmtId="0" fontId="1" fillId="0" borderId="0" pivotButton="0" quotePrefix="0" xfId="0"/>
    <xf numFmtId="14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1" fillId="2" borderId="0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1" fillId="3" borderId="8" applyAlignment="1" pivotButton="0" quotePrefix="0" xfId="0">
      <alignment horizontal="center" vertical="center"/>
    </xf>
    <xf numFmtId="0" fontId="0" fillId="0" borderId="8" pivotButton="0" quotePrefix="0" xfId="0"/>
    <xf numFmtId="0" fontId="7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11" fillId="3" borderId="7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0" fillId="0" borderId="0" pivotButton="0" quotePrefix="0" xfId="0"/>
    <xf numFmtId="0" fontId="6" fillId="3" borderId="0" applyAlignment="1" pivotButton="0" quotePrefix="0" xfId="0">
      <alignment vertical="center"/>
    </xf>
    <xf numFmtId="0" fontId="0" fillId="3" borderId="0" pivotButton="0" quotePrefix="0" xfId="0"/>
    <xf numFmtId="0" fontId="12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right" vertical="center" wrapText="1"/>
    </xf>
    <xf numFmtId="0" fontId="12" fillId="2" borderId="0" applyAlignment="1" pivotButton="0" quotePrefix="0" xfId="0">
      <alignment horizontal="center" vertical="center" wrapText="1"/>
    </xf>
    <xf numFmtId="10" fontId="11" fillId="2" borderId="0" applyAlignment="1" pivotButton="0" quotePrefix="0" xfId="1">
      <alignment horizontal="center" vertical="center" wrapText="1"/>
    </xf>
    <xf numFmtId="0" fontId="1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7" fontId="14" fillId="3" borderId="0" applyAlignment="1" pivotButton="0" quotePrefix="0" xfId="0">
      <alignment horizontal="left" vertical="center"/>
    </xf>
    <xf numFmtId="10" fontId="11" fillId="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8" applyAlignment="1" pivotButton="0" quotePrefix="0" xfId="0">
      <alignment vertical="center"/>
    </xf>
    <xf numFmtId="0" fontId="17" fillId="3" borderId="14" applyAlignment="1" pivotButton="0" quotePrefix="0" xfId="0">
      <alignment horizontal="center" vertical="center" wrapText="1"/>
    </xf>
    <xf numFmtId="14" fontId="17" fillId="3" borderId="13" applyAlignment="1" pivotButton="0" quotePrefix="0" xfId="0">
      <alignment horizontal="center" vertical="center" wrapText="1"/>
    </xf>
    <xf numFmtId="0" fontId="17" fillId="3" borderId="11" applyAlignment="1" pivotButton="0" quotePrefix="0" xfId="0">
      <alignment horizontal="center" vertical="center" wrapText="1"/>
    </xf>
  </cellXfs>
  <cellStyles count="2">
    <cellStyle name="Normal" xfId="0" builtinId="0"/>
    <cellStyle name="Porcentagem" xfId="1" builtinId="5"/>
  </cellStyles>
  <dxfs count="2">
    <dxf>
      <fill>
        <patternFill>
          <bgColor theme="5" tint="0.399945066682943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256957</colOff>
      <row>1</row>
      <rowOff>283210</rowOff>
    </from>
    <to>
      <col>4</col>
      <colOff>297486</colOff>
      <row>5</row>
      <rowOff>105410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56957" y="473710"/>
          <a:ext cx="2181749" cy="9271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R9"/>
  <sheetViews>
    <sheetView tabSelected="1" workbookViewId="0">
      <selection activeCell="G12" sqref="G12"/>
    </sheetView>
  </sheetViews>
  <sheetFormatPr baseColWidth="8" defaultRowHeight="14.4"/>
  <cols>
    <col width="7.6640625" bestFit="1" customWidth="1" style="45" min="1" max="1"/>
    <col width="7.33203125" customWidth="1" style="45" min="2" max="3"/>
    <col width="10.44140625" bestFit="1" customWidth="1" style="45" min="5" max="6"/>
    <col width="17.5546875" bestFit="1" customWidth="1" style="45" min="7" max="7"/>
    <col width="36.77734375" customWidth="1" style="45" min="8" max="8"/>
    <col width="26" customWidth="1" style="45" min="9" max="9"/>
    <col width="38.33203125" customWidth="1" style="45" min="10" max="10"/>
    <col width="12.88671875" customWidth="1" style="45" min="11" max="11"/>
    <col width="3" bestFit="1" customWidth="1" style="45" min="12" max="12"/>
    <col width="19.21875" customWidth="1" style="45" min="13" max="13"/>
    <col width="18.21875" customWidth="1" style="45" min="15" max="15"/>
    <col width="14.6640625" bestFit="1" customWidth="1" style="45" min="16" max="16"/>
  </cols>
  <sheetData>
    <row r="1" ht="15.45" customHeight="1" s="45" thickBo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2" t="n"/>
      <c r="P1" s="3" t="n"/>
      <c r="Q1" s="4" t="n"/>
      <c r="R1" s="3" t="n"/>
    </row>
    <row r="2" ht="28.05" customHeight="1" s="45">
      <c r="A2" s="5" t="n"/>
      <c r="B2" s="6" t="n"/>
      <c r="C2" s="6" t="n"/>
      <c r="D2" s="7" t="n"/>
      <c r="E2" s="7" t="n"/>
      <c r="F2" s="41" t="inlineStr">
        <is>
          <t>CONTROLE DE COMPROVANTES DE ENTREGA</t>
        </is>
      </c>
      <c r="G2" s="42" t="n"/>
      <c r="H2" s="42" t="n"/>
      <c r="I2" s="42" t="n"/>
      <c r="J2" s="42" t="n"/>
      <c r="K2" s="8" t="n"/>
      <c r="L2" s="8" t="n"/>
      <c r="M2" s="9" t="inlineStr">
        <is>
          <t>STATUS GERAL</t>
        </is>
      </c>
      <c r="N2" s="9" t="inlineStr">
        <is>
          <t>Total</t>
        </is>
      </c>
      <c r="O2" s="10" t="n"/>
      <c r="P2" s="11" t="inlineStr">
        <is>
          <t xml:space="preserve"> CHEGADA (%)</t>
        </is>
      </c>
      <c r="Q2" s="11" t="inlineStr">
        <is>
          <t>Total</t>
        </is>
      </c>
      <c r="R2" s="12" t="n"/>
    </row>
    <row r="3" ht="23.55" customHeight="1" s="45">
      <c r="A3" s="38" t="n"/>
      <c r="C3" s="44" t="n"/>
      <c r="D3" s="46" t="n"/>
      <c r="E3" s="46" t="n"/>
      <c r="F3" s="46" t="n"/>
      <c r="G3" s="46" t="n"/>
      <c r="H3" s="46" t="n"/>
      <c r="I3" s="46" t="n"/>
      <c r="J3" s="46" t="n"/>
      <c r="K3" s="47" t="n"/>
      <c r="L3" s="47" t="n"/>
      <c r="M3" s="48" t="inlineStr">
        <is>
          <t>Emitidos</t>
        </is>
      </c>
      <c r="N3" s="49">
        <f>COUNTA($A$9:$A$2196)</f>
        <v/>
      </c>
      <c r="O3" s="50" t="n"/>
      <c r="P3" s="51" t="inlineStr">
        <is>
          <t>Antes do prazo</t>
        </is>
      </c>
      <c r="Q3" s="52">
        <f>SUMPRODUCT(($O9:$O2195&lt;$Q$9:$Q2195)*($O9:$O2195&lt;&gt;""))/$N$3</f>
        <v/>
      </c>
      <c r="R3" s="13" t="n"/>
    </row>
    <row r="4" ht="18.45" customHeight="1" s="45">
      <c r="A4" s="38" t="n"/>
      <c r="C4" s="44" t="n"/>
      <c r="D4" s="53" t="n"/>
      <c r="F4" s="47" t="n"/>
      <c r="G4" s="54" t="inlineStr">
        <is>
          <t>MÊS/ANO:</t>
        </is>
      </c>
      <c r="H4" s="55" t="n"/>
      <c r="I4" s="55" t="n"/>
      <c r="J4" s="47" t="n"/>
      <c r="K4" s="47" t="n"/>
      <c r="L4" s="47" t="n"/>
      <c r="M4" s="48" t="inlineStr">
        <is>
          <t>Recebidos</t>
        </is>
      </c>
      <c r="N4" s="49">
        <f>COUNTIF($P$9:$P$2195,"Recebido")</f>
        <v/>
      </c>
      <c r="O4" s="50" t="n"/>
      <c r="P4" s="51" t="inlineStr">
        <is>
          <t>No prazo</t>
        </is>
      </c>
      <c r="Q4" s="56">
        <f>SUMPRODUCT(($O9:$O2195=$Q9:$Q2195)*($O$9:$O2195&lt;&gt;""))/$N$3</f>
        <v/>
      </c>
      <c r="R4" s="14" t="n"/>
    </row>
    <row r="5" ht="18.45" customHeight="1" s="45">
      <c r="A5" s="38" t="n"/>
      <c r="C5" s="44" t="n"/>
      <c r="D5" s="53" t="n"/>
      <c r="F5" s="47" t="n"/>
      <c r="G5" s="54" t="inlineStr">
        <is>
          <t>RESPONSÁVEL:</t>
        </is>
      </c>
      <c r="H5" s="15" t="n"/>
      <c r="I5" s="57" t="n"/>
      <c r="J5" s="47" t="n"/>
      <c r="K5" s="47" t="n"/>
      <c r="L5" s="47" t="n"/>
      <c r="M5" s="48" t="inlineStr">
        <is>
          <t>Pendentes</t>
        </is>
      </c>
      <c r="N5" s="58">
        <f>COUNTIF($P$9:$P$2195,"Pendente")</f>
        <v/>
      </c>
      <c r="O5" s="50" t="n"/>
      <c r="P5" s="51" t="inlineStr">
        <is>
          <t>Com atraso</t>
        </is>
      </c>
      <c r="Q5" s="56">
        <f>SUMPRODUCT(($O$9:$O2195&gt;$Q9:$Q2195)*($O9:$O2195&lt;&gt;""))/$N$3</f>
        <v/>
      </c>
      <c r="R5" s="14" t="n"/>
    </row>
    <row r="6" ht="31.5" customHeight="1" s="45" thickBot="1">
      <c r="A6" s="43" t="n"/>
      <c r="B6" s="40" t="n"/>
      <c r="C6" s="59" t="n"/>
      <c r="D6" s="39" t="n"/>
      <c r="E6" s="40" t="n"/>
      <c r="F6" s="16" t="n"/>
      <c r="G6" s="39" t="n"/>
      <c r="H6" s="17" t="n"/>
      <c r="I6" s="18" t="n"/>
      <c r="J6" s="16" t="n"/>
      <c r="K6" s="16" t="n"/>
      <c r="L6" s="16" t="n"/>
      <c r="M6" s="19" t="n"/>
      <c r="N6" s="20" t="n"/>
      <c r="O6" s="21" t="n"/>
      <c r="P6" s="22" t="inlineStr">
        <is>
          <t>Ainda sem chegada</t>
        </is>
      </c>
      <c r="Q6" s="23">
        <f>COUNTIF($P$9:$P2195,"Pendente") / COUNTA($P$9:$P2195)</f>
        <v/>
      </c>
      <c r="R6" s="24" t="n"/>
    </row>
    <row r="7" ht="15" customHeight="1" s="45" thickBot="1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1" t="n"/>
      <c r="K7" s="1" t="n"/>
      <c r="L7" s="1" t="n"/>
      <c r="M7" s="1" t="n"/>
      <c r="N7" s="1" t="n"/>
      <c r="O7" s="26" t="n"/>
      <c r="P7" s="3" t="n"/>
      <c r="Q7" s="4" t="n"/>
      <c r="R7" s="3" t="n"/>
    </row>
    <row r="8" ht="46.05" customHeight="1" s="45" thickBot="1">
      <c r="A8" s="27" t="inlineStr">
        <is>
          <t>Numero CT-e</t>
        </is>
      </c>
      <c r="B8" s="27" t="inlineStr">
        <is>
          <t>Série CT-e</t>
        </is>
      </c>
      <c r="C8" s="27" t="inlineStr">
        <is>
          <t>Tipo</t>
        </is>
      </c>
      <c r="D8" s="27" t="inlineStr">
        <is>
          <t>Filial Ct-e</t>
        </is>
      </c>
      <c r="E8" s="28" t="inlineStr">
        <is>
          <t>Emissão CT-e</t>
        </is>
      </c>
      <c r="F8" s="28" t="inlineStr">
        <is>
          <t>Previsão Entrega</t>
        </is>
      </c>
      <c r="G8" s="29" t="inlineStr">
        <is>
          <t>CNPJ Consignatario</t>
        </is>
      </c>
      <c r="H8" s="27" t="inlineStr">
        <is>
          <t>Consignatario(Tomador do serviço)</t>
        </is>
      </c>
      <c r="I8" s="28" t="inlineStr">
        <is>
          <t>Remetente</t>
        </is>
      </c>
      <c r="J8" s="28" t="inlineStr">
        <is>
          <t>Destinatário</t>
        </is>
      </c>
      <c r="K8" s="28" t="inlineStr">
        <is>
          <t>Cidade Destinatário</t>
        </is>
      </c>
      <c r="L8" s="28" t="inlineStr">
        <is>
          <t xml:space="preserve">UF </t>
        </is>
      </c>
      <c r="M8" s="28" t="inlineStr">
        <is>
          <t>Notas</t>
        </is>
      </c>
      <c r="N8" s="28" t="inlineStr">
        <is>
          <t>N. CT-e Redespacho</t>
        </is>
      </c>
      <c r="O8" s="30" t="inlineStr">
        <is>
          <t>Data de Envio  ao Financeiro/Arquivo</t>
        </is>
      </c>
      <c r="P8" s="60" t="inlineStr">
        <is>
          <t>Status</t>
        </is>
      </c>
      <c r="Q8" s="61" t="inlineStr">
        <is>
          <t>Prazo de chegada</t>
        </is>
      </c>
      <c r="R8" s="62" t="inlineStr">
        <is>
          <t>Dias de atraso</t>
        </is>
      </c>
    </row>
    <row r="9">
      <c r="E9" s="32" t="n"/>
      <c r="F9" s="32" t="n"/>
      <c r="O9" s="31" t="n"/>
      <c r="P9" s="3" t="n"/>
      <c r="Q9" s="4" t="n"/>
      <c r="R9" s="3" t="n"/>
    </row>
    <row r="14" hidden="1" s="45"/>
    <row r="17" hidden="1" s="45"/>
    <row r="25" hidden="1" s="45"/>
    <row r="32" hidden="1" s="45"/>
    <row r="33" hidden="1" s="45"/>
    <row r="34" hidden="1" s="45"/>
    <row r="35" hidden="1" s="45"/>
    <row r="36" hidden="1" s="45"/>
    <row r="51" hidden="1" s="45"/>
    <row r="52" hidden="1" s="45"/>
    <row r="53" hidden="1" s="45"/>
    <row r="54" hidden="1" s="45"/>
    <row r="55" hidden="1" s="45"/>
    <row r="56" hidden="1" s="45"/>
    <row r="60" hidden="1" s="45"/>
    <row r="65" hidden="1" s="45"/>
    <row r="66" hidden="1" s="45"/>
    <row r="83" hidden="1" s="45"/>
    <row r="84" hidden="1" s="45"/>
    <row r="85" hidden="1" s="45"/>
    <row r="86" hidden="1" s="45"/>
    <row r="87" hidden="1" s="45"/>
    <row r="88" hidden="1" s="45"/>
    <row r="89" hidden="1" s="45"/>
    <row r="90" hidden="1" s="45"/>
    <row r="91" hidden="1" s="45"/>
    <row r="92" hidden="1" s="45"/>
    <row r="93" hidden="1" s="45"/>
    <row r="94" hidden="1" s="45"/>
    <row r="97" hidden="1" s="45"/>
    <row r="98" hidden="1" s="45"/>
    <row r="99" hidden="1" s="45"/>
    <row r="102" hidden="1" s="45"/>
    <row r="105" hidden="1" s="45"/>
    <row r="107" hidden="1" s="45"/>
    <row r="109" hidden="1" s="45"/>
    <row r="111" hidden="1" s="45"/>
    <row r="112" hidden="1" s="45"/>
    <row r="116" hidden="1" s="45"/>
    <row r="117" hidden="1" s="45"/>
    <row r="125" hidden="1" s="45"/>
    <row r="128" hidden="1" s="45"/>
    <row r="129" hidden="1" s="45"/>
    <row r="132" hidden="1" s="45"/>
    <row r="133" hidden="1" s="45"/>
    <row r="135" hidden="1" s="45"/>
    <row r="136" hidden="1" s="45"/>
    <row r="137" hidden="1" s="45"/>
    <row r="138" hidden="1" s="45"/>
    <row r="139" hidden="1" s="45"/>
    <row r="141" hidden="1" s="45"/>
    <row r="142" hidden="1" s="45"/>
    <row r="143" hidden="1" s="45"/>
    <row r="144" hidden="1" s="45"/>
    <row r="145" hidden="1" s="45"/>
    <row r="146" hidden="1" s="45"/>
    <row r="147" hidden="1" s="45"/>
    <row r="148" hidden="1" s="45"/>
    <row r="149" hidden="1" s="45"/>
    <row r="152" hidden="1" s="45"/>
    <row r="154" hidden="1" s="45"/>
    <row r="156" hidden="1" s="45"/>
    <row r="157" hidden="1" s="45"/>
    <row r="159" hidden="1" s="45"/>
    <row r="160" hidden="1" s="45"/>
    <row r="161" hidden="1" s="45"/>
    <row r="163" hidden="1" s="45"/>
    <row r="165" hidden="1" s="45"/>
    <row r="166" hidden="1" s="45"/>
    <row r="167" hidden="1" s="45"/>
    <row r="168" hidden="1" s="45"/>
    <row r="169" hidden="1" s="45"/>
    <row r="170" hidden="1" s="45"/>
    <row r="171" hidden="1" s="45"/>
    <row r="172" hidden="1" s="45"/>
    <row r="173" hidden="1" s="45"/>
    <row r="174" hidden="1" s="45"/>
    <row r="175" hidden="1" s="45"/>
    <row r="176" hidden="1" s="45"/>
    <row r="177" hidden="1" s="45"/>
    <row r="178" hidden="1" s="45"/>
    <row r="179" hidden="1" s="45"/>
    <row r="180" hidden="1" s="45"/>
    <row r="181" hidden="1" s="45"/>
    <row r="182" hidden="1" s="45"/>
    <row r="183" hidden="1" s="45"/>
    <row r="184" hidden="1" s="45"/>
    <row r="185" hidden="1" s="45"/>
    <row r="186" hidden="1" s="45"/>
    <row r="187" hidden="1" s="45"/>
    <row r="188" hidden="1" s="45"/>
    <row r="189" hidden="1" s="45"/>
    <row r="190" hidden="1" s="45"/>
    <row r="191" hidden="1" s="45"/>
    <row r="192" hidden="1" s="45"/>
    <row r="193" hidden="1" s="45"/>
    <row r="194" hidden="1" s="45"/>
    <row r="195" hidden="1" s="45"/>
    <row r="196" hidden="1" s="45"/>
    <row r="197" hidden="1" s="45"/>
    <row r="198" hidden="1" s="45"/>
    <row r="199" hidden="1" s="45"/>
    <row r="200" hidden="1" s="45"/>
    <row r="201" hidden="1" s="45"/>
    <row r="202" hidden="1" s="45"/>
    <row r="203" hidden="1" s="45"/>
    <row r="204" hidden="1" s="45"/>
    <row r="205" hidden="1" s="45"/>
    <row r="206" hidden="1" s="45"/>
    <row r="207" hidden="1" s="45"/>
    <row r="208" hidden="1" s="45"/>
    <row r="209" hidden="1" s="45"/>
    <row r="210" hidden="1" s="45"/>
    <row r="211" hidden="1" s="45"/>
    <row r="212" hidden="1" s="45"/>
    <row r="213" hidden="1" s="45"/>
    <row r="214" hidden="1" s="45"/>
    <row r="215" hidden="1" s="45"/>
    <row r="216" hidden="1" s="45"/>
    <row r="217" hidden="1" s="45"/>
    <row r="218" hidden="1" s="45"/>
    <row r="219" hidden="1" s="45"/>
    <row r="220" hidden="1" s="45"/>
    <row r="221" hidden="1" s="45"/>
    <row r="222" hidden="1" s="45"/>
    <row r="223" hidden="1" s="45"/>
    <row r="224" hidden="1" s="45"/>
    <row r="225" hidden="1" s="45"/>
    <row r="226" hidden="1" s="45"/>
    <row r="227" hidden="1" s="45"/>
    <row r="228" hidden="1" s="45"/>
    <row r="229" hidden="1" s="45"/>
    <row r="230" hidden="1" s="45"/>
    <row r="231" hidden="1" s="45"/>
    <row r="232" hidden="1" s="45"/>
    <row r="233" hidden="1" s="45"/>
    <row r="234" hidden="1" s="45"/>
    <row r="235" hidden="1" s="45"/>
    <row r="236" hidden="1" s="45"/>
    <row r="237" hidden="1" s="45"/>
    <row r="238" hidden="1" s="45"/>
    <row r="239" hidden="1" s="45"/>
    <row r="240" hidden="1" s="45"/>
    <row r="241" hidden="1" s="45"/>
    <row r="242" hidden="1" s="45"/>
    <row r="243" hidden="1" s="45"/>
    <row r="244" hidden="1" s="45"/>
    <row r="245" hidden="1" s="45"/>
    <row r="246" hidden="1" s="45"/>
    <row r="247" hidden="1" s="45"/>
    <row r="249" hidden="1" s="45"/>
    <row r="250" hidden="1" s="45"/>
    <row r="251" hidden="1" s="45"/>
    <row r="252" hidden="1" s="45"/>
    <row r="253" hidden="1" s="45"/>
    <row r="254" hidden="1" s="45"/>
    <row r="255" hidden="1" s="45"/>
    <row r="256" hidden="1" s="45"/>
    <row r="257" hidden="1" s="45"/>
    <row r="258" hidden="1" s="45"/>
    <row r="259" hidden="1" s="45"/>
    <row r="260" hidden="1" s="45"/>
    <row r="261" hidden="1" s="45"/>
    <row r="262" hidden="1" s="45"/>
    <row r="263" hidden="1" s="45"/>
    <row r="265" hidden="1" s="45"/>
    <row r="266" hidden="1" s="45"/>
    <row r="267" hidden="1" s="45"/>
    <row r="268" hidden="1" s="45"/>
    <row r="269" hidden="1" s="45"/>
    <row r="270" hidden="1" s="45"/>
    <row r="271" hidden="1" s="45"/>
    <row r="272" hidden="1" s="45"/>
    <row r="273" hidden="1" s="45"/>
    <row r="274" hidden="1" s="45"/>
    <row r="275" hidden="1" s="45"/>
    <row r="276" hidden="1" s="45"/>
    <row r="277" hidden="1" s="45"/>
    <row r="278" hidden="1" s="45"/>
    <row r="279" hidden="1" s="45"/>
    <row r="280" hidden="1" s="45"/>
    <row r="281" hidden="1" s="45"/>
    <row r="282" hidden="1" s="45"/>
    <row r="283" hidden="1" s="45"/>
    <row r="284" hidden="1" s="45"/>
    <row r="286" hidden="1" s="45"/>
    <row r="287" hidden="1" s="45"/>
    <row r="288" hidden="1" s="45"/>
    <row r="289" hidden="1" s="45"/>
    <row r="290" hidden="1" s="45"/>
    <row r="291" hidden="1" s="45"/>
    <row r="292" hidden="1" s="45"/>
    <row r="293" hidden="1" s="45"/>
    <row r="294" hidden="1" s="45"/>
    <row r="295" hidden="1" s="45"/>
    <row r="296" hidden="1" s="45"/>
    <row r="297" hidden="1" s="45"/>
    <row r="298" hidden="1" s="45"/>
    <row r="300" hidden="1" s="45"/>
    <row r="301" hidden="1" s="45"/>
    <row r="302" hidden="1" s="45"/>
    <row r="303" hidden="1" s="45"/>
    <row r="304" hidden="1" s="45"/>
    <row r="306" hidden="1" s="45"/>
    <row r="307" hidden="1" s="45"/>
    <row r="308" hidden="1" s="45"/>
    <row r="309" hidden="1" s="45"/>
    <row r="311" hidden="1" s="45"/>
    <row r="312" hidden="1" s="45"/>
    <row r="313" hidden="1" s="45"/>
    <row r="314" hidden="1" s="45"/>
    <row r="315" hidden="1" s="45"/>
    <row r="316" hidden="1" s="45"/>
    <row r="317" hidden="1" s="45"/>
    <row r="318" hidden="1" s="45"/>
    <row r="319" hidden="1" s="45"/>
    <row r="320" hidden="1" s="45"/>
    <row r="321" hidden="1" s="45"/>
    <row r="324" hidden="1" s="45"/>
    <row r="325" hidden="1" s="45"/>
    <row r="326" hidden="1" s="45"/>
    <row r="327" hidden="1" s="45"/>
    <row r="328" hidden="1" s="45"/>
    <row r="329" hidden="1" s="45"/>
    <row r="330" hidden="1" s="45"/>
    <row r="331" hidden="1" s="45"/>
    <row r="332" hidden="1" s="45"/>
    <row r="333" hidden="1" s="45"/>
    <row r="334" hidden="1" s="45"/>
    <row r="335" hidden="1" s="45"/>
    <row r="336" hidden="1" s="45"/>
    <row r="337" hidden="1" s="45"/>
    <row r="338" hidden="1" s="45"/>
    <row r="339" hidden="1" s="45"/>
    <row r="340" hidden="1" s="45"/>
    <row r="341" hidden="1" s="45"/>
    <row r="342" hidden="1" s="45"/>
    <row r="343" hidden="1" s="45"/>
    <row r="344" hidden="1" s="45"/>
    <row r="345" hidden="1" s="45"/>
    <row r="346" hidden="1" s="45"/>
    <row r="347" hidden="1" s="45"/>
    <row r="348" hidden="1" s="45"/>
    <row r="349" hidden="1" s="45"/>
    <row r="350" hidden="1" s="45"/>
    <row r="351" hidden="1" s="45"/>
    <row r="352" hidden="1" s="45"/>
    <row r="353" hidden="1" s="45"/>
    <row r="354" hidden="1" s="45"/>
    <row r="355" hidden="1" s="45"/>
    <row r="356" hidden="1" s="45"/>
    <row r="357" hidden="1" s="45"/>
    <row r="358" hidden="1" s="45"/>
    <row r="359" hidden="1" s="45"/>
    <row r="360" hidden="1" s="45"/>
    <row r="361" hidden="1" s="45"/>
    <row r="362" hidden="1" s="45"/>
    <row r="363" hidden="1" s="45"/>
    <row r="364" hidden="1" s="45"/>
    <row r="365" hidden="1" s="45"/>
    <row r="366" hidden="1" s="45"/>
    <row r="367" hidden="1" s="45"/>
    <row r="368" hidden="1" s="45"/>
    <row r="369" hidden="1" s="45"/>
    <row r="370" hidden="1" s="45"/>
    <row r="371" hidden="1" s="45"/>
    <row r="372" hidden="1" s="45"/>
    <row r="373" hidden="1" s="45"/>
    <row r="374" hidden="1" s="45"/>
    <row r="375" hidden="1" s="45"/>
    <row r="376" hidden="1" s="45"/>
    <row r="377" hidden="1" s="45"/>
    <row r="378" hidden="1" s="45"/>
    <row r="379" hidden="1" s="45"/>
    <row r="380" hidden="1" s="45"/>
    <row r="381" hidden="1" s="45"/>
    <row r="382" hidden="1" s="45"/>
    <row r="383" hidden="1" s="45"/>
    <row r="384" hidden="1" s="45"/>
    <row r="385" hidden="1" s="45"/>
    <row r="386" hidden="1" s="45"/>
    <row r="387" hidden="1" s="45"/>
    <row r="388" hidden="1" s="45"/>
    <row r="389" hidden="1" s="45"/>
    <row r="390" hidden="1" s="45"/>
    <row r="391" hidden="1" s="45"/>
    <row r="392" hidden="1" s="45"/>
    <row r="393" hidden="1" s="45"/>
    <row r="394" hidden="1" s="45"/>
    <row r="395" hidden="1" s="45"/>
    <row r="396" hidden="1" s="45"/>
    <row r="397" hidden="1" s="45"/>
    <row r="398" hidden="1" s="45"/>
    <row r="399" hidden="1" s="45"/>
    <row r="400" hidden="1" s="45"/>
    <row r="401" hidden="1" s="45"/>
    <row r="402" hidden="1" s="45"/>
    <row r="403" hidden="1" s="45"/>
    <row r="404" hidden="1" s="45"/>
    <row r="405" hidden="1" s="45"/>
    <row r="406" hidden="1" s="45"/>
    <row r="407" hidden="1" s="45"/>
    <row r="408" hidden="1" s="45"/>
    <row r="409" hidden="1" s="45"/>
    <row r="410" hidden="1" s="45"/>
    <row r="411" hidden="1" s="45"/>
    <row r="412" hidden="1" s="45"/>
    <row r="413" hidden="1" s="45"/>
    <row r="414" hidden="1" s="45"/>
    <row r="415" hidden="1" s="45"/>
    <row r="416" hidden="1" s="45"/>
    <row r="417" hidden="1" s="45"/>
    <row r="418" hidden="1" s="45"/>
    <row r="419" hidden="1" s="45"/>
    <row r="420" hidden="1" s="45"/>
    <row r="421" hidden="1" s="45"/>
    <row r="422" hidden="1" s="45"/>
    <row r="423" hidden="1" s="45"/>
    <row r="424" hidden="1" s="45"/>
    <row r="425" hidden="1" s="45"/>
    <row r="426" hidden="1" s="45"/>
    <row r="427" hidden="1" s="45"/>
    <row r="428" hidden="1" s="45"/>
    <row r="429" hidden="1" s="45"/>
    <row r="430" hidden="1" s="45"/>
    <row r="431" hidden="1" s="45"/>
    <row r="432" hidden="1" s="45"/>
    <row r="433" hidden="1" s="45"/>
    <row r="434" hidden="1" s="45"/>
    <row r="435" hidden="1" s="45"/>
    <row r="436" hidden="1" s="45"/>
    <row r="437" hidden="1" s="45"/>
    <row r="438" hidden="1" s="45"/>
    <row r="439" hidden="1" s="45"/>
    <row r="440" hidden="1" s="45"/>
    <row r="441" hidden="1" s="45"/>
    <row r="442" hidden="1" s="45"/>
    <row r="443" hidden="1" s="45"/>
    <row r="444" hidden="1" s="45"/>
    <row r="445" hidden="1" s="45"/>
    <row r="446" hidden="1" s="45"/>
    <row r="447" hidden="1" s="45"/>
    <row r="448" hidden="1" s="45"/>
    <row r="449" hidden="1" s="45"/>
    <row r="450" hidden="1" s="45"/>
    <row r="451" hidden="1" s="45"/>
    <row r="452" hidden="1" s="45"/>
    <row r="453" hidden="1" s="45"/>
    <row r="454" hidden="1" s="45"/>
    <row r="455" hidden="1" s="45"/>
    <row r="456" hidden="1" s="45"/>
    <row r="457" hidden="1" s="45"/>
    <row r="458" hidden="1" s="45"/>
    <row r="459" hidden="1" s="45"/>
    <row r="460" hidden="1" s="45"/>
    <row r="461" hidden="1" s="45"/>
    <row r="462" hidden="1" s="45"/>
    <row r="463" hidden="1" s="45"/>
    <row r="464" hidden="1" s="45"/>
    <row r="465" hidden="1" s="45"/>
    <row r="466" hidden="1" s="45"/>
    <row r="467" hidden="1" s="45"/>
    <row r="468" hidden="1" s="45"/>
    <row r="469" hidden="1" s="45"/>
    <row r="470" hidden="1" s="45"/>
    <row r="471" hidden="1" s="45"/>
    <row r="472" hidden="1" s="45"/>
    <row r="473" hidden="1" s="45"/>
    <row r="474" hidden="1" s="45"/>
    <row r="475" hidden="1" s="45"/>
    <row r="476" hidden="1" s="45"/>
    <row r="477" hidden="1" s="45"/>
    <row r="478" hidden="1" s="45"/>
    <row r="479" hidden="1" s="45"/>
    <row r="480" hidden="1" s="45"/>
    <row r="481" hidden="1" s="45"/>
    <row r="482" hidden="1" s="45"/>
    <row r="483" hidden="1" s="45"/>
    <row r="484" hidden="1" s="45"/>
    <row r="485" hidden="1" s="45"/>
    <row r="486" hidden="1" s="45"/>
    <row r="487" hidden="1" s="45"/>
    <row r="488" hidden="1" s="45"/>
    <row r="489" hidden="1" s="45"/>
    <row r="490" hidden="1" s="45"/>
    <row r="491" hidden="1" s="45"/>
    <row r="492" hidden="1" s="45"/>
    <row r="493" hidden="1" s="45"/>
    <row r="494" hidden="1" s="45"/>
    <row r="495" hidden="1" s="45"/>
    <row r="496" hidden="1" s="45"/>
    <row r="497" hidden="1" s="45"/>
    <row r="498" hidden="1" s="45"/>
    <row r="499" hidden="1" s="45"/>
    <row r="500" hidden="1" s="45"/>
    <row r="501" hidden="1" s="45"/>
    <row r="502" hidden="1" s="45"/>
    <row r="503" hidden="1" s="45"/>
    <row r="504" hidden="1" s="45"/>
    <row r="505" hidden="1" s="45"/>
    <row r="506" hidden="1" s="45"/>
    <row r="507" hidden="1" s="45"/>
    <row r="508" hidden="1" s="45"/>
    <row r="509" hidden="1" s="45"/>
    <row r="510" hidden="1" s="45"/>
    <row r="511" hidden="1" s="45"/>
    <row r="512" hidden="1" s="45"/>
    <row r="513" hidden="1" s="45"/>
    <row r="514" hidden="1" s="45"/>
    <row r="515" hidden="1" s="45"/>
    <row r="516" hidden="1" s="45"/>
    <row r="517" hidden="1" s="45"/>
    <row r="518" hidden="1" s="45"/>
    <row r="519" hidden="1" s="45"/>
    <row r="520" hidden="1" s="45"/>
    <row r="521" hidden="1" s="45"/>
    <row r="522" hidden="1" s="45"/>
    <row r="523" hidden="1" s="45"/>
    <row r="524" hidden="1" s="45"/>
    <row r="525" hidden="1" s="45"/>
    <row r="526" hidden="1" s="45"/>
    <row r="527" hidden="1" s="45"/>
    <row r="528" hidden="1" s="45"/>
    <row r="529" hidden="1" s="45"/>
    <row r="530" hidden="1" s="45"/>
    <row r="531" hidden="1" s="45"/>
    <row r="532" hidden="1" s="45"/>
    <row r="533" hidden="1" s="45"/>
    <row r="534" hidden="1" s="45"/>
    <row r="535" hidden="1" s="45"/>
    <row r="536" hidden="1" s="45"/>
    <row r="537" hidden="1" s="45"/>
    <row r="538" hidden="1" s="45"/>
    <row r="539" hidden="1" s="45"/>
    <row r="540" hidden="1" s="45"/>
    <row r="541" hidden="1" s="45"/>
    <row r="542" hidden="1" s="45"/>
    <row r="543" hidden="1" s="45"/>
    <row r="544" hidden="1" s="45"/>
    <row r="545" hidden="1" s="45"/>
    <row r="546" hidden="1" s="45"/>
    <row r="547" hidden="1" s="45"/>
    <row r="548" hidden="1" s="45"/>
    <row r="549" hidden="1" s="45"/>
    <row r="550" hidden="1" s="45"/>
    <row r="551" hidden="1" s="45"/>
    <row r="552" hidden="1" s="45"/>
    <row r="553" hidden="1" s="45"/>
    <row r="554" hidden="1" s="45"/>
    <row r="555" hidden="1" s="45"/>
    <row r="556" hidden="1" s="45"/>
    <row r="557" hidden="1" s="45"/>
    <row r="558" hidden="1" s="45"/>
    <row r="559" hidden="1" s="45"/>
    <row r="560" hidden="1" s="45"/>
    <row r="561" hidden="1" s="45"/>
    <row r="562" hidden="1" s="45"/>
    <row r="563" hidden="1" s="45"/>
    <row r="564" hidden="1" s="45"/>
    <row r="565" hidden="1" s="45"/>
    <row r="566" hidden="1" s="45"/>
    <row r="567" hidden="1" s="45"/>
    <row r="568" hidden="1" s="45"/>
    <row r="569" hidden="1" s="45"/>
    <row r="570" hidden="1" s="45"/>
    <row r="571" hidden="1" s="45"/>
    <row r="572" hidden="1" s="45"/>
    <row r="573" hidden="1" s="45"/>
    <row r="574" hidden="1" s="45"/>
    <row r="575" hidden="1" s="45"/>
    <row r="576" hidden="1" s="45"/>
    <row r="577" hidden="1" s="45"/>
    <row r="578" hidden="1" s="45"/>
    <row r="579" hidden="1" s="45"/>
    <row r="580" hidden="1" s="45"/>
    <row r="581" hidden="1" s="45"/>
    <row r="582" hidden="1" s="45"/>
    <row r="583" hidden="1" s="45"/>
    <row r="584" hidden="1" s="45"/>
    <row r="585" hidden="1" s="45"/>
    <row r="586" hidden="1" s="45"/>
    <row r="587" hidden="1" s="45"/>
    <row r="588" hidden="1" s="45"/>
    <row r="589" hidden="1" s="45"/>
    <row r="590" hidden="1" s="45"/>
    <row r="591" hidden="1" s="45"/>
    <row r="592" hidden="1" s="45"/>
    <row r="593" hidden="1" s="45"/>
    <row r="594" hidden="1" s="45"/>
    <row r="595" hidden="1" s="45"/>
    <row r="596" hidden="1" s="45"/>
    <row r="597" hidden="1" s="45"/>
    <row r="598" hidden="1" s="45"/>
    <row r="599" hidden="1" s="45"/>
    <row r="600" hidden="1" s="45"/>
    <row r="601" hidden="1" s="45"/>
    <row r="602" hidden="1" s="45"/>
    <row r="603" hidden="1" s="45"/>
    <row r="604" hidden="1" s="45"/>
    <row r="605" hidden="1" s="45"/>
    <row r="606" hidden="1" s="45"/>
    <row r="607" hidden="1" s="45"/>
    <row r="608" hidden="1" s="45"/>
    <row r="609" hidden="1" s="45"/>
    <row r="610" hidden="1" s="45"/>
    <row r="611" hidden="1" s="45"/>
    <row r="612" hidden="1" s="45"/>
    <row r="613" hidden="1" s="45"/>
    <row r="614" hidden="1" s="45"/>
    <row r="615" hidden="1" s="45"/>
    <row r="616" hidden="1" s="45"/>
    <row r="617" hidden="1" s="45"/>
    <row r="618" hidden="1" s="45"/>
    <row r="619" hidden="1" s="45"/>
    <row r="620" hidden="1" s="45"/>
    <row r="621" hidden="1" s="45"/>
    <row r="622" hidden="1" s="45"/>
    <row r="623" hidden="1" s="45"/>
    <row r="624" hidden="1" s="45"/>
    <row r="625" hidden="1" s="45"/>
    <row r="626" hidden="1" s="45"/>
    <row r="627" hidden="1" s="45"/>
    <row r="628" hidden="1" s="45"/>
    <row r="629" hidden="1" s="45"/>
    <row r="630" hidden="1" s="45"/>
    <row r="631" hidden="1" s="45"/>
    <row r="632" hidden="1" s="45"/>
    <row r="633" hidden="1" s="45"/>
    <row r="634" hidden="1" s="45"/>
    <row r="635" hidden="1" s="45"/>
    <row r="636" hidden="1" s="45"/>
    <row r="637" hidden="1" s="45"/>
    <row r="638" hidden="1" s="45"/>
    <row r="639" hidden="1" s="45"/>
    <row r="640" hidden="1" s="45"/>
    <row r="641" hidden="1" s="45"/>
    <row r="642" hidden="1" s="45"/>
    <row r="643" hidden="1" s="45"/>
    <row r="644" hidden="1" s="45"/>
    <row r="645" hidden="1" s="45"/>
    <row r="646" hidden="1" s="45"/>
    <row r="647" hidden="1" s="45"/>
    <row r="648" hidden="1" s="45"/>
    <row r="649" hidden="1" s="45"/>
    <row r="650" hidden="1" s="45"/>
    <row r="651" hidden="1" s="45"/>
    <row r="652" hidden="1" s="45"/>
    <row r="653" hidden="1" s="45"/>
    <row r="654" hidden="1" s="45"/>
    <row r="655" hidden="1" s="45"/>
    <row r="656" hidden="1" s="45"/>
    <row r="657" hidden="1" s="45"/>
    <row r="658" hidden="1" s="45"/>
    <row r="659" hidden="1" s="45"/>
    <row r="660" hidden="1" s="45"/>
    <row r="661" hidden="1" s="45"/>
    <row r="662" hidden="1" s="45"/>
    <row r="663" hidden="1" s="45"/>
    <row r="664" hidden="1" s="45"/>
    <row r="665" hidden="1" s="45"/>
    <row r="666" hidden="1" s="45"/>
    <row r="667" hidden="1" s="45"/>
    <row r="668" hidden="1" s="45"/>
    <row r="669" hidden="1" s="45"/>
    <row r="670" hidden="1" s="45"/>
    <row r="671" hidden="1" s="45"/>
    <row r="672" hidden="1" s="45"/>
    <row r="673" hidden="1" s="45"/>
    <row r="674" hidden="1" s="45"/>
    <row r="675" hidden="1" s="45"/>
    <row r="676" hidden="1" s="45"/>
    <row r="677" hidden="1" s="45"/>
    <row r="678" hidden="1" s="45"/>
    <row r="679" hidden="1" s="45"/>
    <row r="680" hidden="1" s="45"/>
    <row r="681" hidden="1" s="45"/>
    <row r="682" hidden="1" s="45"/>
    <row r="683" hidden="1" s="45"/>
    <row r="684" hidden="1" s="45"/>
    <row r="685" hidden="1" s="45"/>
    <row r="686" hidden="1" s="45"/>
    <row r="687" hidden="1" s="45"/>
    <row r="688" hidden="1" s="45"/>
    <row r="689" hidden="1" s="45"/>
    <row r="690" hidden="1" s="45"/>
    <row r="691" hidden="1" s="45"/>
    <row r="692" hidden="1" s="45"/>
    <row r="693" hidden="1" s="45"/>
    <row r="694" hidden="1" s="45"/>
    <row r="695" hidden="1" s="45"/>
    <row r="696" hidden="1" s="45"/>
    <row r="697" hidden="1" s="45"/>
    <row r="698" hidden="1" s="45"/>
    <row r="699" hidden="1" s="45"/>
    <row r="700" hidden="1" s="45"/>
    <row r="701" hidden="1" s="45"/>
    <row r="702" hidden="1" s="45"/>
    <row r="703" hidden="1" s="45"/>
    <row r="704" hidden="1" s="45"/>
    <row r="705" hidden="1" s="45"/>
    <row r="706" hidden="1" s="45"/>
    <row r="707" hidden="1" s="45"/>
    <row r="708" hidden="1" s="45"/>
    <row r="709" hidden="1" s="45"/>
    <row r="710" hidden="1" s="45"/>
    <row r="711" hidden="1" s="45"/>
    <row r="712" hidden="1" s="45"/>
    <row r="713" hidden="1" s="45"/>
    <row r="714" hidden="1" s="45"/>
    <row r="715" hidden="1" s="45"/>
    <row r="716" hidden="1" s="45"/>
    <row r="717" hidden="1" s="45"/>
    <row r="718" hidden="1" s="45"/>
    <row r="719" hidden="1" s="45"/>
    <row r="720" hidden="1" s="45"/>
    <row r="721" hidden="1" s="45"/>
    <row r="722" hidden="1" s="45"/>
    <row r="723" hidden="1" s="45"/>
    <row r="724" hidden="1" s="45"/>
    <row r="725" hidden="1" s="45"/>
    <row r="726" hidden="1" s="45"/>
    <row r="727" hidden="1" s="45"/>
    <row r="728" hidden="1" s="45"/>
    <row r="729" hidden="1" s="45"/>
    <row r="730" hidden="1" s="45"/>
    <row r="731" hidden="1" s="45"/>
    <row r="732" hidden="1" s="45"/>
    <row r="733" hidden="1" s="45"/>
    <row r="734" hidden="1" s="45"/>
    <row r="735" hidden="1" s="45"/>
    <row r="736" hidden="1" s="45"/>
    <row r="737" hidden="1" s="45"/>
    <row r="738" hidden="1" s="45"/>
    <row r="739" hidden="1" s="45"/>
    <row r="740" hidden="1" s="45"/>
    <row r="741" hidden="1" s="45"/>
    <row r="742" hidden="1" s="45"/>
    <row r="743" hidden="1" s="45"/>
    <row r="744" hidden="1" s="45"/>
    <row r="745" hidden="1" s="45"/>
    <row r="746" hidden="1" s="45"/>
    <row r="747" hidden="1" s="45"/>
    <row r="748" hidden="1" s="45"/>
    <row r="749" hidden="1" s="45"/>
    <row r="750" hidden="1" s="45"/>
    <row r="751" hidden="1" s="45"/>
    <row r="752" hidden="1" s="45"/>
    <row r="753" hidden="1" s="45"/>
    <row r="754" hidden="1" s="45"/>
    <row r="755" hidden="1" s="45"/>
    <row r="756" hidden="1" s="45"/>
    <row r="757" hidden="1" s="45"/>
    <row r="758" hidden="1" s="45"/>
    <row r="759" hidden="1" s="45"/>
    <row r="760" hidden="1" s="45"/>
    <row r="761" hidden="1" s="45"/>
    <row r="762" hidden="1" s="45"/>
    <row r="763" hidden="1" s="45"/>
    <row r="764" hidden="1" s="45"/>
    <row r="765" hidden="1" s="45"/>
    <row r="766" hidden="1" s="45"/>
    <row r="767" hidden="1" s="45"/>
    <row r="768" hidden="1" s="45"/>
    <row r="769" hidden="1" s="45"/>
    <row r="770" hidden="1" s="45"/>
    <row r="771" hidden="1" s="45"/>
    <row r="772" hidden="1" s="45"/>
    <row r="773" hidden="1" s="45"/>
    <row r="774" hidden="1" s="45"/>
    <row r="775" hidden="1" s="45"/>
    <row r="776" hidden="1" s="45"/>
    <row r="777" hidden="1" s="45"/>
    <row r="778" hidden="1" s="45"/>
    <row r="779" hidden="1" s="45"/>
    <row r="780" hidden="1" s="45"/>
    <row r="781" hidden="1" s="45"/>
    <row r="782" hidden="1" s="45"/>
    <row r="783" hidden="1" s="45"/>
    <row r="784" hidden="1" s="45"/>
    <row r="785" hidden="1" s="45"/>
    <row r="786" hidden="1" s="45"/>
    <row r="787" hidden="1" s="45"/>
    <row r="788" hidden="1" s="45"/>
    <row r="789" hidden="1" s="45"/>
    <row r="790" hidden="1" s="45"/>
    <row r="791" hidden="1" s="45"/>
    <row r="792" hidden="1" s="45"/>
    <row r="793" hidden="1" s="45"/>
    <row r="794" hidden="1" s="45"/>
    <row r="795" hidden="1" s="45"/>
    <row r="796" hidden="1" s="45"/>
    <row r="797" hidden="1" s="45"/>
    <row r="798" hidden="1" s="45"/>
    <row r="799" hidden="1" s="45"/>
    <row r="800" hidden="1" s="45"/>
    <row r="801" hidden="1" s="45"/>
    <row r="802" hidden="1" s="45"/>
    <row r="803" hidden="1" s="45"/>
    <row r="804" hidden="1" s="45"/>
    <row r="805" hidden="1" s="45"/>
    <row r="806" hidden="1" s="45"/>
    <row r="807" hidden="1" s="45"/>
    <row r="808" hidden="1" s="45"/>
    <row r="809" hidden="1" s="45"/>
    <row r="810" hidden="1" s="45"/>
    <row r="811" hidden="1" s="45"/>
    <row r="812" hidden="1" s="45"/>
    <row r="813" hidden="1" s="45"/>
    <row r="814" hidden="1" s="45"/>
    <row r="815" hidden="1" s="45"/>
    <row r="816" hidden="1" s="45"/>
    <row r="817" hidden="1" s="45"/>
    <row r="818" hidden="1" s="45"/>
    <row r="819" hidden="1" s="45"/>
    <row r="820" hidden="1" s="45"/>
    <row r="821" hidden="1" s="45"/>
    <row r="822" hidden="1" s="45"/>
    <row r="823" hidden="1" s="45"/>
    <row r="824" hidden="1" s="45"/>
    <row r="825" hidden="1" s="45"/>
    <row r="826" hidden="1" s="45"/>
    <row r="827" hidden="1" s="45"/>
    <row r="828" hidden="1" s="45"/>
    <row r="829" hidden="1" s="45"/>
    <row r="830" hidden="1" s="45"/>
    <row r="831" hidden="1" s="45"/>
    <row r="832" hidden="1" s="45"/>
    <row r="833" hidden="1" s="45"/>
    <row r="834" hidden="1" s="45"/>
    <row r="835" hidden="1" s="45"/>
    <row r="836" hidden="1" s="45"/>
    <row r="837" hidden="1" s="45"/>
    <row r="838" hidden="1" s="45"/>
    <row r="839" hidden="1" s="45"/>
    <row r="840" hidden="1" s="45"/>
    <row r="841" hidden="1" s="45"/>
    <row r="842" hidden="1" s="45"/>
    <row r="843" hidden="1" s="45"/>
    <row r="844" hidden="1" s="45"/>
    <row r="845" hidden="1" s="45"/>
    <row r="846" hidden="1" s="45"/>
    <row r="847" hidden="1" s="45"/>
    <row r="848" hidden="1" s="45"/>
    <row r="849" hidden="1" s="45"/>
    <row r="850" hidden="1" s="45"/>
    <row r="851" hidden="1" s="45"/>
    <row r="852" hidden="1" s="45"/>
    <row r="853" hidden="1" s="45"/>
    <row r="854" hidden="1" s="45"/>
    <row r="855" hidden="1" s="45"/>
    <row r="856" hidden="1" s="45"/>
    <row r="857" hidden="1" s="45"/>
    <row r="858" hidden="1" s="45"/>
    <row r="859" hidden="1" s="45"/>
    <row r="860" hidden="1" s="45"/>
    <row r="861" hidden="1" s="45"/>
    <row r="862" hidden="1" s="45"/>
    <row r="863" hidden="1" s="45"/>
    <row r="864" hidden="1" s="45"/>
    <row r="865" hidden="1" s="45"/>
    <row r="866" hidden="1" s="45"/>
    <row r="867" hidden="1" s="45"/>
    <row r="868" hidden="1" s="45"/>
    <row r="869" hidden="1" s="45"/>
    <row r="870" hidden="1" s="45"/>
    <row r="871" hidden="1" s="45"/>
    <row r="872" hidden="1" s="45"/>
    <row r="873" hidden="1" s="45"/>
    <row r="874" hidden="1" s="45"/>
    <row r="875" hidden="1" s="45"/>
    <row r="876" hidden="1" s="45"/>
    <row r="877" hidden="1" s="45"/>
    <row r="878" hidden="1" s="45"/>
    <row r="879" hidden="1" s="45"/>
    <row r="880" hidden="1" s="45"/>
    <row r="881" hidden="1" s="45"/>
    <row r="882" hidden="1" s="45"/>
    <row r="883" hidden="1" s="45"/>
    <row r="884" hidden="1" s="45"/>
    <row r="885" hidden="1" s="45"/>
    <row r="886" hidden="1" s="45"/>
    <row r="887" hidden="1" s="45"/>
    <row r="888" hidden="1" s="45"/>
    <row r="889" hidden="1" s="45"/>
    <row r="890" hidden="1" s="45"/>
    <row r="891" hidden="1" s="45"/>
    <row r="892" hidden="1" s="45"/>
    <row r="893" hidden="1" s="45"/>
    <row r="894" hidden="1" s="45"/>
    <row r="895" hidden="1" s="45"/>
    <row r="896" hidden="1" s="45"/>
    <row r="897" hidden="1" s="45"/>
    <row r="898" hidden="1" s="45"/>
    <row r="899" hidden="1" s="45"/>
    <row r="900" hidden="1" s="45"/>
    <row r="901" hidden="1" s="45"/>
    <row r="902" hidden="1" s="45"/>
    <row r="903" hidden="1" s="45"/>
    <row r="904" hidden="1" s="45"/>
    <row r="905" hidden="1" s="45"/>
    <row r="906" hidden="1" s="45"/>
    <row r="907" hidden="1" s="45"/>
    <row r="908" hidden="1" s="45"/>
    <row r="909" hidden="1" s="45"/>
    <row r="910" hidden="1" s="45"/>
    <row r="911" hidden="1" s="45"/>
    <row r="912" hidden="1" s="45"/>
    <row r="913" hidden="1" s="45"/>
    <row r="914" hidden="1" s="45"/>
    <row r="915" hidden="1" s="45"/>
    <row r="916" hidden="1" s="45"/>
    <row r="917" hidden="1" s="45"/>
    <row r="918" hidden="1" s="45"/>
    <row r="919" hidden="1" s="45"/>
    <row r="920" hidden="1" s="45"/>
    <row r="921" hidden="1" s="45"/>
    <row r="922" hidden="1" s="45"/>
    <row r="923" hidden="1" s="45"/>
    <row r="924" hidden="1" s="45"/>
    <row r="925" hidden="1" s="45"/>
    <row r="926" hidden="1" s="45"/>
    <row r="927" hidden="1" s="45"/>
    <row r="928" hidden="1" s="45"/>
    <row r="929" hidden="1" s="45"/>
    <row r="930" hidden="1" s="45"/>
    <row r="931" hidden="1" s="45"/>
    <row r="932" hidden="1" s="45"/>
    <row r="933" hidden="1" s="45"/>
    <row r="934" hidden="1" s="45"/>
    <row r="935" hidden="1" s="45"/>
    <row r="936" hidden="1" s="45"/>
    <row r="937" hidden="1" s="45"/>
    <row r="938" hidden="1" s="45"/>
    <row r="939" hidden="1" s="45"/>
    <row r="940" hidden="1" s="45"/>
    <row r="941" hidden="1" s="45"/>
    <row r="942" hidden="1" s="45"/>
    <row r="943" hidden="1" s="45"/>
    <row r="944" hidden="1" s="45"/>
    <row r="945" hidden="1" s="45"/>
    <row r="946" hidden="1" s="45"/>
    <row r="947" hidden="1" s="45"/>
    <row r="948" hidden="1" s="45"/>
    <row r="949" hidden="1" s="45"/>
    <row r="950" hidden="1" s="45"/>
    <row r="951" hidden="1" s="45"/>
    <row r="952" hidden="1" s="45"/>
    <row r="953" hidden="1" s="45"/>
    <row r="954" hidden="1" s="45"/>
    <row r="955" hidden="1" s="45"/>
    <row r="956" hidden="1" s="45"/>
    <row r="957" hidden="1" s="45"/>
    <row r="958" hidden="1" s="45"/>
    <row r="959" hidden="1" s="45"/>
    <row r="960" hidden="1" s="45"/>
    <row r="961" hidden="1" s="45"/>
    <row r="962" hidden="1" s="45"/>
    <row r="963" hidden="1" s="45"/>
    <row r="964" hidden="1" s="45"/>
    <row r="965" hidden="1" s="45"/>
    <row r="966" hidden="1" s="45"/>
    <row r="967" hidden="1" s="45"/>
    <row r="968" hidden="1" s="45"/>
    <row r="969" hidden="1" s="45"/>
    <row r="970" hidden="1" s="45"/>
    <row r="971" hidden="1" s="45"/>
    <row r="972" hidden="1" s="45"/>
    <row r="973" hidden="1" s="45"/>
    <row r="974" hidden="1" s="45"/>
    <row r="975" hidden="1" s="45"/>
    <row r="976" hidden="1" s="45"/>
    <row r="977" hidden="1" s="45"/>
    <row r="978" hidden="1" s="45"/>
    <row r="979" hidden="1" s="45"/>
    <row r="980" hidden="1" s="45"/>
    <row r="981" hidden="1" s="45"/>
    <row r="982" hidden="1" s="45"/>
    <row r="983" hidden="1" s="45"/>
    <row r="984" hidden="1" s="45"/>
    <row r="985" hidden="1" s="45"/>
    <row r="986" hidden="1" s="45"/>
    <row r="987" hidden="1" s="45"/>
    <row r="988" hidden="1" s="45"/>
    <row r="989" hidden="1" s="45"/>
    <row r="990" hidden="1" s="45"/>
    <row r="991" hidden="1" s="45"/>
    <row r="992" hidden="1" s="45"/>
    <row r="993" hidden="1" s="45"/>
    <row r="994" hidden="1" s="45"/>
    <row r="995" hidden="1" s="45"/>
    <row r="996" hidden="1" s="45"/>
    <row r="997" hidden="1" s="45"/>
    <row r="998" hidden="1" s="45"/>
    <row r="999" hidden="1" s="45"/>
    <row r="1000" hidden="1" s="45"/>
    <row r="1001" hidden="1" s="45"/>
    <row r="1002" hidden="1" s="45"/>
    <row r="1003" hidden="1" s="45"/>
    <row r="1004" hidden="1" s="45"/>
    <row r="1005" hidden="1" s="45"/>
    <row r="1006" hidden="1" s="45"/>
    <row r="1007" hidden="1" s="45"/>
    <row r="1008" hidden="1" s="45"/>
    <row r="1009" hidden="1" s="45"/>
    <row r="1010" hidden="1" s="45"/>
    <row r="1011" hidden="1" s="45"/>
    <row r="1012" hidden="1" s="45"/>
    <row r="1013" hidden="1" s="45"/>
    <row r="1014" hidden="1" s="45"/>
    <row r="1015" hidden="1" s="45"/>
    <row r="1016" hidden="1" s="45"/>
    <row r="1017" hidden="1" s="45"/>
    <row r="1018" hidden="1" s="45"/>
    <row r="1019" hidden="1" s="45"/>
    <row r="1020" hidden="1" s="45"/>
    <row r="1021" hidden="1" s="45"/>
    <row r="1022" hidden="1" s="45"/>
    <row r="1023" hidden="1" s="45"/>
    <row r="1024" hidden="1" s="45"/>
    <row r="1025" hidden="1" s="45"/>
    <row r="1026" hidden="1" s="45"/>
    <row r="1027" hidden="1" s="45"/>
    <row r="1028" hidden="1" s="45"/>
    <row r="1029" hidden="1" s="45"/>
    <row r="1030" hidden="1" s="45"/>
    <row r="1031" hidden="1" s="45"/>
    <row r="1032" hidden="1" s="45"/>
    <row r="1033" hidden="1" s="45"/>
    <row r="1034" hidden="1" s="45"/>
    <row r="1035" hidden="1" s="45"/>
    <row r="1036" hidden="1" s="45"/>
    <row r="1037" hidden="1" s="45"/>
    <row r="1038" hidden="1" s="45"/>
    <row r="1039" hidden="1" s="45"/>
    <row r="1040" hidden="1" s="45"/>
    <row r="1041" hidden="1" s="45"/>
    <row r="1042" hidden="1" s="45"/>
    <row r="1043" hidden="1" s="45"/>
    <row r="1044" hidden="1" s="45"/>
    <row r="1045" hidden="1" s="45"/>
    <row r="1046" hidden="1" s="45"/>
    <row r="1047" hidden="1" s="45"/>
    <row r="1048" hidden="1" s="45"/>
    <row r="1049" hidden="1" s="45"/>
    <row r="1050" hidden="1" s="45"/>
    <row r="1051" hidden="1" s="45"/>
    <row r="1052" hidden="1" s="45"/>
    <row r="1053" hidden="1" s="45"/>
    <row r="1054" hidden="1" s="45"/>
    <row r="1055" hidden="1" s="45"/>
    <row r="1056" hidden="1" s="45"/>
    <row r="1057" hidden="1" s="45"/>
    <row r="1058" hidden="1" s="45"/>
    <row r="1059" hidden="1" s="45"/>
    <row r="1060" hidden="1" s="45"/>
    <row r="1061" hidden="1" s="45"/>
    <row r="1062" hidden="1" s="45"/>
    <row r="1063" hidden="1" s="45"/>
    <row r="1064" hidden="1" s="45"/>
    <row r="1065" hidden="1" s="45"/>
    <row r="1066" hidden="1" s="45"/>
  </sheetData>
  <autoFilter ref="A8:R238">
    <filterColumn colId="14" hiddenButton="0" showButton="1">
      <customFilters and="1">
        <customFilter val="46266" operator="greaterThanOrEqual"/>
        <customFilter val="46279" operator="lessThanOrEqual"/>
      </customFilters>
    </filterColumn>
    <sortState ref="A14:R868">
      <sortCondition ref="O8:O868"/>
    </sortState>
  </autoFilter>
  <mergeCells count="8">
    <mergeCell ref="A4:B4"/>
    <mergeCell ref="D6:E6"/>
    <mergeCell ref="D5:E5"/>
    <mergeCell ref="A5:B5"/>
    <mergeCell ref="D4:E4"/>
    <mergeCell ref="A3:B3"/>
    <mergeCell ref="A6:B6"/>
    <mergeCell ref="F2:J2"/>
  </mergeCells>
  <conditionalFormatting sqref="P9:P238">
    <cfRule type="containsText" priority="1" operator="containsText" dxfId="1" text="Recebido">
      <formula>NOT(ISERROR(SEARCH("Recebido",P9)))</formula>
    </cfRule>
    <cfRule type="containsText" priority="2" operator="containsText" dxfId="0" text="Pendente">
      <formula>NOT(ISERROR(SEARCH("Pendente",P9)))</formula>
    </cfRule>
  </conditionalFormatting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Tallyta Gomes</dc:creator>
  <dcterms:created xsi:type="dcterms:W3CDTF">2026-08-06T20:38:48Z</dcterms:created>
  <dcterms:modified xsi:type="dcterms:W3CDTF">2026-10-23T14:48:41Z</dcterms:modified>
  <cp:lastModifiedBy>Erlan Ferreira</cp:lastModifiedBy>
</cp:coreProperties>
</file>