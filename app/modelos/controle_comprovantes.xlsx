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6520" tabRatio="600" firstSheet="0" activeTab="0" autoFilterDateGrouping="1"/>
  </bookViews>
  <sheets>
    <sheet name="Controle" sheetId="1" state="visible" r:id="rId1"/>
  </sheets>
  <definedNames>
    <definedName name="_xlnm._FilterDatabase" localSheetId="0" hidden="1">'Controle'!$A$8:$Q$1066</definedName>
  </definedNames>
  <calcPr calcId="179021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color theme="0"/>
      <sz val="18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3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rgb="FF002060"/>
      <sz val="12"/>
      <scheme val="minor"/>
    </font>
    <font>
      <name val="Calibri"/>
      <family val="2"/>
      <b val="1"/>
      <color rgb="FF002060"/>
      <sz val="14"/>
      <scheme val="minor"/>
    </font>
    <font>
      <name val="Calibri"/>
      <family val="2"/>
      <color rgb="FFFFFF00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FF00"/>
      <sz val="11"/>
      <scheme val="minor"/>
    </font>
    <font>
      <name val="Calibri"/>
      <family val="2"/>
      <sz val="11"/>
    </font>
    <font>
      <name val="Calibri"/>
      <sz val="11"/>
    </font>
    <font>
      <name val="Calibri"/>
      <family val="2"/>
      <color indexed="8"/>
      <sz val="11"/>
      <u val="single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dotted">
        <color theme="2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2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 style="medium">
        <color indexed="64"/>
      </bottom>
      <diagonal/>
    </border>
    <border>
      <left style="medium">
        <color indexed="64"/>
      </left>
      <right style="medium">
        <color theme="9" tint="-0.499984740745262"/>
      </right>
      <top style="medium">
        <color theme="9" tint="-0.499984740745262"/>
      </top>
      <bottom style="medium">
        <color indexed="64"/>
      </bottom>
      <diagonal/>
    </border>
  </borders>
  <cellStyleXfs count="2">
    <xf numFmtId="0" fontId="1" fillId="0" borderId="0"/>
    <xf numFmtId="9" fontId="1" fillId="0" borderId="0"/>
  </cellStyleXfs>
  <cellXfs count="58">
    <xf numFmtId="0" fontId="0" fillId="0" borderId="0" pivotButton="0" quotePrefix="0" xfId="0"/>
    <xf numFmtId="0" fontId="0" fillId="2" borderId="0" pivotButton="0" quotePrefix="0" xfId="0"/>
    <xf numFmtId="14" fontId="4" fillId="2" borderId="0" applyAlignment="1" pivotButton="0" quotePrefix="0" xfId="0">
      <alignment horizontal="right" vertical="center"/>
    </xf>
    <xf numFmtId="0" fontId="0" fillId="2" borderId="0" applyAlignment="1" pivotButton="0" quotePrefix="0" xfId="0">
      <alignment horizontal="center" vertical="center"/>
    </xf>
    <xf numFmtId="14" fontId="0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6" fillId="3" borderId="2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0" fontId="9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right" vertical="center" wrapText="1"/>
    </xf>
    <xf numFmtId="0" fontId="9" fillId="3" borderId="2" applyAlignment="1" pivotButton="0" quotePrefix="0" xfId="0">
      <alignment horizontal="center" vertical="center" wrapText="1"/>
    </xf>
    <xf numFmtId="0" fontId="10" fillId="3" borderId="3" applyAlignment="1" pivotButton="0" quotePrefix="0" xfId="0">
      <alignment horizontal="center" vertical="center" wrapText="1"/>
    </xf>
    <xf numFmtId="0" fontId="6" fillId="3" borderId="0" applyAlignment="1" pivotButton="0" quotePrefix="0" xfId="0">
      <alignment vertical="center"/>
    </xf>
    <xf numFmtId="0" fontId="0" fillId="3" borderId="0" pivotButton="0" quotePrefix="0" xfId="0"/>
    <xf numFmtId="0" fontId="12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right" vertical="center" wrapText="1"/>
    </xf>
    <xf numFmtId="0" fontId="12" fillId="2" borderId="0" applyAlignment="1" pivotButton="0" quotePrefix="0" xfId="0">
      <alignment horizontal="center" vertical="center" wrapText="1"/>
    </xf>
    <xf numFmtId="10" fontId="11" fillId="2" borderId="0" applyAlignment="1" pivotButton="0" quotePrefix="0" xfId="1">
      <alignment horizontal="center" vertical="center" wrapText="1"/>
    </xf>
    <xf numFmtId="10" fontId="11" fillId="3" borderId="5" applyAlignment="1" pivotButton="0" quotePrefix="0" xfId="1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17" fontId="14" fillId="3" borderId="0" applyAlignment="1" pivotButton="0" quotePrefix="0" xfId="0">
      <alignment horizontal="left" vertical="center"/>
    </xf>
    <xf numFmtId="10" fontId="11" fillId="2" borderId="0" applyAlignment="1" pivotButton="0" quotePrefix="0" xfId="0">
      <alignment horizontal="center" vertical="center" wrapText="1"/>
    </xf>
    <xf numFmtId="10" fontId="11" fillId="3" borderId="5" applyAlignment="1" pivotButton="0" quotePrefix="0" xfId="0">
      <alignment horizontal="center" vertical="center" wrapText="1"/>
    </xf>
    <xf numFmtId="0" fontId="14" fillId="3" borderId="6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0" fillId="3" borderId="8" pivotButton="0" quotePrefix="0" xfId="0"/>
    <xf numFmtId="0" fontId="11" fillId="3" borderId="8" applyAlignment="1" pivotButton="0" quotePrefix="0" xfId="0">
      <alignment horizontal="center" vertical="center"/>
    </xf>
    <xf numFmtId="0" fontId="0" fillId="3" borderId="9" applyAlignment="1" pivotButton="0" quotePrefix="0" xfId="0">
      <alignment vertical="center"/>
    </xf>
    <xf numFmtId="0" fontId="0" fillId="3" borderId="8" applyAlignment="1" pivotButton="0" quotePrefix="0" xfId="0">
      <alignment vertical="center"/>
    </xf>
    <xf numFmtId="0" fontId="15" fillId="2" borderId="8" pivotButton="0" quotePrefix="0" xfId="0"/>
    <xf numFmtId="0" fontId="0" fillId="2" borderId="8" pivotButton="0" quotePrefix="0" xfId="0"/>
    <xf numFmtId="0" fontId="13" fillId="3" borderId="8" applyAlignment="1" pivotButton="0" quotePrefix="0" xfId="0">
      <alignment horizontal="right" vertical="center" wrapText="1"/>
    </xf>
    <xf numFmtId="0" fontId="12" fillId="2" borderId="8" applyAlignment="1" pivotButton="0" quotePrefix="0" xfId="0">
      <alignment horizontal="center" vertical="center" wrapText="1"/>
    </xf>
    <xf numFmtId="10" fontId="4" fillId="2" borderId="8" applyAlignment="1" pivotButton="0" quotePrefix="0" xfId="1">
      <alignment horizontal="center" vertical="center" wrapText="1"/>
    </xf>
    <xf numFmtId="10" fontId="11" fillId="3" borderId="10" applyAlignment="1" pivotButton="0" quotePrefix="0" xfId="1">
      <alignment horizontal="center" vertical="center" wrapText="1"/>
    </xf>
    <xf numFmtId="0" fontId="3" fillId="2" borderId="0" pivotButton="0" quotePrefix="0" xfId="0"/>
    <xf numFmtId="14" fontId="0" fillId="2" borderId="0" applyAlignment="1" pivotButton="0" quotePrefix="0" xfId="0">
      <alignment horizontal="right" vertical="center"/>
    </xf>
    <xf numFmtId="0" fontId="2" fillId="3" borderId="11" applyAlignment="1" pivotButton="0" quotePrefix="0" xfId="0">
      <alignment horizontal="center" vertical="center" wrapText="1"/>
    </xf>
    <xf numFmtId="0" fontId="2" fillId="3" borderId="12" applyAlignment="1" pivotButton="0" quotePrefix="0" xfId="0">
      <alignment horizontal="center" vertical="center" wrapText="1"/>
    </xf>
    <xf numFmtId="0" fontId="2" fillId="3" borderId="13" applyAlignment="1" pivotButton="0" quotePrefix="0" xfId="0">
      <alignment horizontal="center" vertical="center" wrapText="1"/>
    </xf>
    <xf numFmtId="14" fontId="16" fillId="4" borderId="11" applyAlignment="1" pivotButton="0" quotePrefix="0" xfId="0">
      <alignment horizontal="right" vertical="center" wrapText="1"/>
    </xf>
    <xf numFmtId="0" fontId="17" fillId="3" borderId="14" applyAlignment="1" pivotButton="0" quotePrefix="0" xfId="0">
      <alignment horizontal="center" vertical="center" wrapText="1"/>
    </xf>
    <xf numFmtId="14" fontId="17" fillId="3" borderId="15" applyAlignment="1" pivotButton="0" quotePrefix="0" xfId="0">
      <alignment horizontal="center" vertical="center" wrapText="1"/>
    </xf>
    <xf numFmtId="0" fontId="17" fillId="3" borderId="16" applyAlignment="1" pivotButton="0" quotePrefix="0" xfId="0">
      <alignment horizontal="center" vertical="center" wrapText="1"/>
    </xf>
    <xf numFmtId="14" fontId="18" fillId="0" borderId="0" applyAlignment="1" pivotButton="0" quotePrefix="0" xfId="0">
      <alignment horizontal="center" wrapText="1"/>
    </xf>
    <xf numFmtId="14" fontId="0" fillId="0" borderId="0" pivotButton="0" quotePrefix="0" xfId="0"/>
    <xf numFmtId="14" fontId="19" fillId="0" borderId="0" applyAlignment="1" pivotButton="0" quotePrefix="0" xfId="0">
      <alignment horizontal="center" wrapText="1"/>
    </xf>
    <xf numFmtId="0" fontId="20" fillId="0" borderId="0" pivotButton="0" quotePrefix="0" xfId="0"/>
    <xf numFmtId="0" fontId="11" fillId="3" borderId="7" applyAlignment="1" pivotButton="0" quotePrefix="0" xfId="0">
      <alignment horizontal="center" vertical="center"/>
    </xf>
    <xf numFmtId="0" fontId="11" fillId="3" borderId="8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11" fillId="3" borderId="4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8" pivotButton="0" quotePrefix="0" xfId="0"/>
  </cellXfs>
  <cellStyles count="2">
    <cellStyle name="Normal" xfId="0" builtinId="0"/>
    <cellStyle name="Porcentagem" xfId="1" builtinId="5"/>
  </cellStyles>
  <dxfs count="2">
    <dxf>
      <fill>
        <patternFill>
          <bgColor theme="5" tint="0.3999450666829432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173137</colOff>
      <row>1</row>
      <rowOff>222250</rowOff>
    </from>
    <to>
      <col>3</col>
      <colOff>716586</colOff>
      <row>5</row>
      <rowOff>44450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73137" y="412750"/>
          <a:ext cx="2200799" cy="94615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Q9"/>
  <sheetViews>
    <sheetView tabSelected="1" topLeftCell="H1" workbookViewId="0">
      <selection activeCell="N1067" sqref="N1067"/>
    </sheetView>
  </sheetViews>
  <sheetFormatPr baseColWidth="8" defaultRowHeight="14.5"/>
  <cols>
    <col width="7.6328125" bestFit="1" customWidth="1" min="1" max="1"/>
    <col width="7.36328125" customWidth="1" min="2" max="2"/>
    <col width="10.453125" bestFit="1" customWidth="1" min="4" max="5"/>
    <col width="17.54296875" bestFit="1" customWidth="1" min="6" max="6"/>
    <col width="36.81640625" customWidth="1" min="7" max="7"/>
    <col width="26" customWidth="1" min="8" max="8"/>
    <col width="38.36328125" customWidth="1" min="9" max="9"/>
    <col width="12.90625" customWidth="1" min="10" max="10"/>
    <col width="3" bestFit="1" customWidth="1" min="11" max="11"/>
    <col width="19.26953125" customWidth="1" min="12" max="12"/>
    <col width="18.1796875" customWidth="1" min="14" max="14"/>
    <col width="14.6328125" bestFit="1" customWidth="1" min="15" max="15"/>
  </cols>
  <sheetData>
    <row r="1" ht="15.5" customHeight="1" thickBo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2" t="n"/>
      <c r="O1" s="3" t="n"/>
      <c r="P1" s="4" t="n"/>
      <c r="Q1" s="3" t="n"/>
    </row>
    <row r="2" ht="28" customHeight="1">
      <c r="A2" s="5" t="n"/>
      <c r="B2" s="6" t="n"/>
      <c r="C2" s="7" t="n"/>
      <c r="D2" s="7" t="n"/>
      <c r="E2" s="53" t="inlineStr">
        <is>
          <t>CONTROLE DE COMPROVANTES DE ENTREGA</t>
        </is>
      </c>
      <c r="F2" s="56" t="n"/>
      <c r="G2" s="56" t="n"/>
      <c r="H2" s="56" t="n"/>
      <c r="I2" s="56" t="n"/>
      <c r="J2" s="8" t="n"/>
      <c r="K2" s="8" t="n"/>
      <c r="L2" s="9" t="inlineStr">
        <is>
          <t>STATUS GERAL</t>
        </is>
      </c>
      <c r="M2" s="9" t="inlineStr">
        <is>
          <t>Total</t>
        </is>
      </c>
      <c r="N2" s="10" t="n"/>
      <c r="O2" s="11" t="inlineStr">
        <is>
          <t xml:space="preserve"> CHEGADA (%)</t>
        </is>
      </c>
      <c r="P2" s="11" t="inlineStr">
        <is>
          <t>Total</t>
        </is>
      </c>
      <c r="Q2" s="12" t="n"/>
    </row>
    <row r="3" ht="23.5" customHeight="1">
      <c r="A3" s="54" t="n"/>
      <c r="C3" s="13" t="n"/>
      <c r="D3" s="13" t="n"/>
      <c r="E3" s="13" t="n"/>
      <c r="F3" s="13" t="n"/>
      <c r="G3" s="13" t="n"/>
      <c r="H3" s="13" t="n"/>
      <c r="I3" s="13" t="n"/>
      <c r="J3" s="14" t="n"/>
      <c r="K3" s="14" t="n"/>
      <c r="L3" s="15" t="inlineStr">
        <is>
          <t>Emitidos</t>
        </is>
      </c>
      <c r="M3" s="16">
        <f>COUNTA($A$9:$A$2196)</f>
        <v/>
      </c>
      <c r="N3" s="17" t="n"/>
      <c r="O3" s="18" t="inlineStr">
        <is>
          <t>Antes do prazo</t>
        </is>
      </c>
      <c r="P3" s="19">
        <f>SUMPRODUCT(($N9:$N2195&lt;$P$9:$P2195)*($N9:$N2195&lt;&gt;""))/$M$3</f>
        <v/>
      </c>
      <c r="Q3" s="20" t="n"/>
    </row>
    <row r="4" ht="18.5" customHeight="1">
      <c r="A4" s="54" t="n"/>
      <c r="C4" s="55" t="n"/>
      <c r="E4" s="14" t="n"/>
      <c r="F4" s="21" t="inlineStr">
        <is>
          <t>MÊS/ANO:</t>
        </is>
      </c>
      <c r="G4" s="22" t="n"/>
      <c r="H4" s="22" t="n"/>
      <c r="I4" s="14" t="n"/>
      <c r="J4" s="14" t="n"/>
      <c r="K4" s="14" t="n"/>
      <c r="L4" s="15" t="inlineStr">
        <is>
          <t>Recebidos</t>
        </is>
      </c>
      <c r="M4" s="16">
        <f>COUNTIF($O$9:$O$2195,"Recebido")</f>
        <v/>
      </c>
      <c r="N4" s="17" t="n"/>
      <c r="O4" s="18" t="inlineStr">
        <is>
          <t>No prazo</t>
        </is>
      </c>
      <c r="P4" s="23">
        <f>SUMPRODUCT(($N9:$N2195=$P9:$P2195)*($N$9:$N2195&lt;&gt;""))/$M$3</f>
        <v/>
      </c>
      <c r="Q4" s="24" t="n"/>
    </row>
    <row r="5" ht="18.5" customHeight="1">
      <c r="A5" s="54" t="n"/>
      <c r="C5" s="55" t="n"/>
      <c r="E5" s="14" t="n"/>
      <c r="F5" s="21" t="inlineStr">
        <is>
          <t>RESPONSÁVEL:</t>
        </is>
      </c>
      <c r="G5" s="25" t="n"/>
      <c r="H5" s="26" t="n"/>
      <c r="I5" s="14" t="n"/>
      <c r="J5" s="14" t="n"/>
      <c r="K5" s="14" t="n"/>
      <c r="L5" s="15" t="inlineStr">
        <is>
          <t>Pendentes</t>
        </is>
      </c>
      <c r="M5" s="27">
        <f>COUNTIF($O$9:$O$2195,"Pendente")</f>
        <v/>
      </c>
      <c r="N5" s="17" t="n"/>
      <c r="O5" s="18" t="inlineStr">
        <is>
          <t>Com atraso</t>
        </is>
      </c>
      <c r="P5" s="23">
        <f>SUMPRODUCT(($N$9:$N2195&gt;$P9:$P2195)*($N9:$N2195&lt;&gt;""))/$M$3</f>
        <v/>
      </c>
      <c r="Q5" s="24" t="n"/>
    </row>
    <row r="6" ht="31.5" customHeight="1" thickBot="1">
      <c r="A6" s="51" t="n"/>
      <c r="B6" s="57" t="n"/>
      <c r="C6" s="52" t="n"/>
      <c r="D6" s="57" t="n"/>
      <c r="E6" s="28" t="n"/>
      <c r="F6" s="52" t="n"/>
      <c r="G6" s="30" t="n"/>
      <c r="H6" s="31" t="n"/>
      <c r="I6" s="28" t="n"/>
      <c r="J6" s="28" t="n"/>
      <c r="K6" s="28" t="n"/>
      <c r="L6" s="32" t="n"/>
      <c r="M6" s="33" t="n"/>
      <c r="N6" s="34" t="n"/>
      <c r="O6" s="35" t="inlineStr">
        <is>
          <t>Ainda sem chegada</t>
        </is>
      </c>
      <c r="P6" s="36">
        <f>COUNTIF($O$9:$O2195,"Pendente") / COUNTA($O$9:$O2195)</f>
        <v/>
      </c>
      <c r="Q6" s="37" t="n"/>
    </row>
    <row r="7" ht="15" customHeight="1" thickBot="1">
      <c r="A7" s="38" t="n"/>
      <c r="B7" s="38" t="n"/>
      <c r="C7" s="38" t="n"/>
      <c r="D7" s="38" t="n"/>
      <c r="E7" s="38" t="n"/>
      <c r="F7" s="38" t="n"/>
      <c r="G7" s="38" t="n"/>
      <c r="H7" s="38" t="n"/>
      <c r="I7" s="1" t="n"/>
      <c r="J7" s="1" t="n"/>
      <c r="K7" s="1" t="n"/>
      <c r="L7" s="1" t="n"/>
      <c r="M7" s="1" t="n"/>
      <c r="N7" s="39" t="n"/>
      <c r="O7" s="3" t="n"/>
      <c r="P7" s="4" t="n"/>
      <c r="Q7" s="3" t="n"/>
    </row>
    <row r="8" ht="46" customHeight="1" thickBot="1">
      <c r="A8" s="40" t="inlineStr">
        <is>
          <t>Numero CT-e</t>
        </is>
      </c>
      <c r="B8" s="40" t="inlineStr">
        <is>
          <t>Série CT-e</t>
        </is>
      </c>
      <c r="C8" s="40" t="inlineStr">
        <is>
          <t>Filial Ct-e</t>
        </is>
      </c>
      <c r="D8" s="41" t="inlineStr">
        <is>
          <t>Emissão CT-e</t>
        </is>
      </c>
      <c r="E8" s="41" t="inlineStr">
        <is>
          <t>Previsão Entrega</t>
        </is>
      </c>
      <c r="F8" s="42" t="inlineStr">
        <is>
          <t>CNPJ Consignatario</t>
        </is>
      </c>
      <c r="G8" s="40" t="inlineStr">
        <is>
          <t>Consignatario(Tomador do serviço)</t>
        </is>
      </c>
      <c r="H8" s="41" t="inlineStr">
        <is>
          <t>Remetente</t>
        </is>
      </c>
      <c r="I8" s="41" t="inlineStr">
        <is>
          <t>Destinatário</t>
        </is>
      </c>
      <c r="J8" s="41" t="inlineStr">
        <is>
          <t>Cidade Destinatário</t>
        </is>
      </c>
      <c r="K8" s="41" t="inlineStr">
        <is>
          <t xml:space="preserve">UF </t>
        </is>
      </c>
      <c r="L8" s="41" t="inlineStr">
        <is>
          <t>Notas</t>
        </is>
      </c>
      <c r="M8" s="41" t="inlineStr">
        <is>
          <t>N. CT-e Redespacho</t>
        </is>
      </c>
      <c r="N8" s="43" t="inlineStr">
        <is>
          <t>Data de Envio  ao Financeiro/Arquivo</t>
        </is>
      </c>
      <c r="O8" s="44" t="inlineStr">
        <is>
          <t>Status</t>
        </is>
      </c>
      <c r="P8" s="45" t="inlineStr">
        <is>
          <t>Prazo de chegada</t>
        </is>
      </c>
      <c r="Q8" s="46" t="inlineStr">
        <is>
          <t>Dias de atraso</t>
        </is>
      </c>
    </row>
    <row r="9">
      <c r="D9" s="49" t="n"/>
      <c r="E9" s="49" t="n"/>
      <c r="N9" s="48" t="n"/>
      <c r="O9" s="3" t="n"/>
      <c r="P9" s="4" t="n"/>
      <c r="Q9" s="3" t="n"/>
    </row>
    <row r="14" hidden="1"/>
    <row r="17" hidden="1"/>
    <row r="25" hidden="1"/>
    <row r="32" hidden="1"/>
    <row r="33" hidden="1"/>
    <row r="34" hidden="1"/>
    <row r="35" hidden="1"/>
    <row r="36" hidden="1"/>
    <row r="51" hidden="1"/>
    <row r="52" hidden="1"/>
    <row r="53" hidden="1"/>
    <row r="54" hidden="1"/>
    <row r="55" hidden="1"/>
    <row r="56" hidden="1"/>
    <row r="60" hidden="1"/>
    <row r="65" hidden="1"/>
    <row r="66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7" hidden="1"/>
    <row r="98" hidden="1"/>
    <row r="99" hidden="1"/>
    <row r="102" hidden="1"/>
    <row r="105" hidden="1"/>
    <row r="107" hidden="1"/>
    <row r="109" hidden="1"/>
    <row r="111" hidden="1"/>
    <row r="112" hidden="1"/>
    <row r="116" hidden="1"/>
    <row r="117" hidden="1"/>
    <row r="125" hidden="1"/>
    <row r="128" hidden="1"/>
    <row r="129" hidden="1"/>
    <row r="132" hidden="1"/>
    <row r="133" hidden="1"/>
    <row r="135" hidden="1"/>
    <row r="136" hidden="1"/>
    <row r="137" hidden="1"/>
    <row r="138" hidden="1"/>
    <row r="139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2" hidden="1"/>
    <row r="154" hidden="1"/>
    <row r="156" hidden="1"/>
    <row r="157" hidden="1"/>
    <row r="159" hidden="1"/>
    <row r="160" hidden="1"/>
    <row r="161" hidden="1"/>
    <row r="163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300" hidden="1"/>
    <row r="301" hidden="1"/>
    <row r="302" hidden="1"/>
    <row r="303" hidden="1"/>
    <row r="304" hidden="1"/>
    <row r="306" hidden="1"/>
    <row r="307" hidden="1"/>
    <row r="308" hidden="1"/>
    <row r="309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</sheetData>
  <autoFilter ref="A8:Q1066">
    <filterColumn colId="13" hiddenButton="0" showButton="1">
      <customFilters and="1">
        <customFilter val="46266" operator="greaterThanOrEqual"/>
        <customFilter val="46279" operator="lessThanOrEqual"/>
      </customFilters>
    </filterColumn>
    <sortState ref="A14:Q868">
      <sortCondition ref="N8:N868"/>
    </sortState>
  </autoFilter>
  <mergeCells count="8">
    <mergeCell ref="A4:B4"/>
    <mergeCell ref="C6:D6"/>
    <mergeCell ref="C5:D5"/>
    <mergeCell ref="E2:I2"/>
    <mergeCell ref="A5:B5"/>
    <mergeCell ref="A3:B3"/>
    <mergeCell ref="A6:B6"/>
    <mergeCell ref="C4:D4"/>
  </mergeCells>
  <conditionalFormatting sqref="O1 O7:O1066">
    <cfRule type="containsText" priority="1" operator="containsText" dxfId="1" text="Recebido">
      <formula>NOT(ISERROR(SEARCH("Recebido",O1)))</formula>
    </cfRule>
    <cfRule type="containsText" priority="2" operator="containsText" dxfId="0" text="Pendente">
      <formula>NOT(ISERROR(SEARCH("Pendente",O1)))</formula>
    </cfRule>
  </conditionalFormatting>
  <pageMargins left="0.511811024" right="0.511811024" top="0.787401575" bottom="0.787401575" header="0.31496062" footer="0.3149606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Tallyta Gomes</dc:creator>
  <dcterms:created xsi:type="dcterms:W3CDTF">2026-08-06T20:38:48Z</dcterms:created>
  <dcterms:modified xsi:type="dcterms:W3CDTF">2026-09-28T20:47:36Z</dcterms:modified>
  <cp:lastModifiedBy>Tallyta Gomes</cp:lastModifiedBy>
</cp:coreProperties>
</file>